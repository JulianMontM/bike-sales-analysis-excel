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8_{5F6DD415-E519-42E6-BC5D-2D903D28F1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</definedName>
    <definedName name="SegmentaciónDeDatos_Education">#N/A</definedName>
    <definedName name="SegmentaciónDeDatos_Marital_Status">#N/A</definedName>
    <definedName name="SegmentaciónDeDatos_Region">#N/A</definedName>
  </definedNames>
  <calcPr calcId="191029"/>
  <pivotCaches>
    <pivotCache cacheId="1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<sst xmlns="http://schemas.openxmlformats.org/spreadsheetml/2006/main" count="16267" uniqueCount="51">
  <si>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</si>
  <si>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</si>
  <si>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</si>
  <si>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</si>
  <si>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</si>
  <si>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</si>
  <si>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</si>
  <si>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</si>
  <si>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</si>
  <si>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</si>
  <si>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</si>
  <si>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</si>
  <si>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</si>
  <si>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</si>
  <si>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</si>
  <si>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</si>
  <si>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</si>
  <si>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</si>
  <si>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</si>
  <si>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</si>
  <si>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</si>
  <si>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</si>
  <si>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</si>
  <si>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</si>
  <si>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</si>
  <si>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</si>
  <si>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</si>
  <si>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</si>
  <si>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</si>
  <si>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</si>
  <si>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</si>
  <si>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</si>
  <si>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</si>
  <si>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</si>
  <si>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</si>
  <si>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</si>
  <si>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</si>
  <si>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</si>
  <si>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</si>
  <si>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</si>
  <si>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</t>
  </si>
  <si>
    <t>Etiquetas de columna</t>
  </si>
  <si>
    <t>Total general</t>
  </si>
  <si>
    <t>Etiquetas de fila</t>
  </si>
  <si>
    <t>Promedio de Income</t>
  </si>
  <si>
    <t>Cuenta de Purchased Bike</t>
  </si>
  <si>
    <t>More than 10 Miles</t>
  </si>
  <si>
    <t>Adolescent</t>
  </si>
  <si>
    <t>Middle Age</t>
  </si>
  <si>
    <t>Old</t>
  </si>
  <si>
    <t>Bikes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</si>
</sst>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$&quot;\ 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7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33" borderId="0" xfId="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"$"\ #,##0</c:formatCode>
                <c:ptCount val="2"/>
                <c:pt idx="0">
                  <c:v>54885.496183206109</c:v>
                </c:pt>
                <c:pt idx="1">
                  <c:v>59431.818181818184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1-4136-8FFA-4BAB23AFB4AA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"$"\ #,##0</c:formatCode>
                <c:ptCount val="2"/>
                <c:pt idx="0">
                  <c:v>59259.259259259263</c:v>
                </c:pt>
                <c:pt idx="1">
                  <c:v>61300.813008130084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B1-4136-8FFA-4BAB23AFB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966447"/>
        <c:axId val="1554967407"/>
      </c:barChart>
      <c:catAx>
        <c:axId val="155496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67407"/>
        <c:crosses val="autoZero"/>
        <c:auto val="1"/>
        <c:lblAlgn val="ctr"/>
        <c:lblOffset val="100"/>
        <c:noMultiLvlLbl val="0"/>
      </c:catAx>
      <c:valAx>
        <c:axId val="15549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66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Costumer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107</c:v>
                </c:pt>
                <c:pt idx="1">
                  <c:v>50</c:v>
                </c:pt>
                <c:pt idx="2">
                  <c:v>37</c:v>
                </c:pt>
                <c:pt idx="3">
                  <c:v>63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C-4414-8E0F-EDA872DFD834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98</c:v>
                </c:pt>
                <c:pt idx="1">
                  <c:v>38</c:v>
                </c:pt>
                <c:pt idx="2">
                  <c:v>44</c:v>
                </c:pt>
                <c:pt idx="3">
                  <c:v>38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C-4414-8E0F-EDA872DFD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4749775"/>
        <c:axId val="2044750255"/>
      </c:lineChart>
      <c:catAx>
        <c:axId val="2044749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50255"/>
        <c:crosses val="autoZero"/>
        <c:auto val="1"/>
        <c:lblAlgn val="ctr"/>
        <c:lblOffset val="100"/>
        <c:noMultiLvlLbl val="0"/>
      </c:catAx>
      <c:valAx>
        <c:axId val="20447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4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24</c:v>
                </c:pt>
                <c:pt idx="1">
                  <c:v>187</c:v>
                </c:pt>
                <c:pt idx="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CC-4D6F-84AC-21DF3DA45037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14</c:v>
                </c:pt>
                <c:pt idx="1">
                  <c:v>185</c:v>
                </c:pt>
                <c:pt idx="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CC-4D6F-84AC-21DF3DA45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024207"/>
        <c:axId val="1801024687"/>
      </c:lineChart>
      <c:catAx>
        <c:axId val="1801024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24687"/>
        <c:crosses val="autoZero"/>
        <c:auto val="1"/>
        <c:lblAlgn val="ctr"/>
        <c:lblOffset val="100"/>
        <c:noMultiLvlLbl val="0"/>
      </c:catAx>
      <c:valAx>
        <c:axId val="18010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2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"$"\ #,##0</c:formatCode>
                <c:ptCount val="2"/>
                <c:pt idx="0">
                  <c:v>54885.496183206109</c:v>
                </c:pt>
                <c:pt idx="1">
                  <c:v>59431.818181818184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C-4042-88AC-40C4F16CDB57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"$"\ #,##0</c:formatCode>
                <c:ptCount val="2"/>
                <c:pt idx="0">
                  <c:v>59259.259259259263</c:v>
                </c:pt>
                <c:pt idx="1">
                  <c:v>61300.813008130084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C-4042-88AC-40C4F16CD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4966447"/>
        <c:axId val="1554967407"/>
      </c:barChart>
      <c:catAx>
        <c:axId val="155496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67407"/>
        <c:crosses val="autoZero"/>
        <c:auto val="1"/>
        <c:lblAlgn val="ctr"/>
        <c:lblOffset val="100"/>
        <c:noMultiLvlLbl val="0"/>
      </c:catAx>
      <c:valAx>
        <c:axId val="155496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66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Costumer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107</c:v>
                </c:pt>
                <c:pt idx="1">
                  <c:v>50</c:v>
                </c:pt>
                <c:pt idx="2">
                  <c:v>37</c:v>
                </c:pt>
                <c:pt idx="3">
                  <c:v>63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B-4039-AD92-A823E4982FCF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98</c:v>
                </c:pt>
                <c:pt idx="1">
                  <c:v>38</c:v>
                </c:pt>
                <c:pt idx="2">
                  <c:v>44</c:v>
                </c:pt>
                <c:pt idx="3">
                  <c:v>38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B-4039-AD92-A823E498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749775"/>
        <c:axId val="2044750255"/>
      </c:lineChart>
      <c:catAx>
        <c:axId val="204474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50255"/>
        <c:crosses val="autoZero"/>
        <c:auto val="1"/>
        <c:lblAlgn val="ctr"/>
        <c:lblOffset val="100"/>
        <c:noMultiLvlLbl val="0"/>
      </c:catAx>
      <c:valAx>
        <c:axId val="20447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74977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Table'!$B$40:$B$41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Table'!$B$42:$B$45</c:f>
              <c:numCache>
                <c:formatCode>General</c:formatCode>
                <c:ptCount val="3"/>
                <c:pt idx="0">
                  <c:v>24</c:v>
                </c:pt>
                <c:pt idx="1">
                  <c:v>187</c:v>
                </c:pt>
                <c:pt idx="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E-4BC7-B0AB-5F415C38A03D}"/>
            </c:ext>
          </c:extLst>
        </c:ser>
        <c:ser>
          <c:idx val="1"/>
          <c:order val="1"/>
          <c:tx>
            <c:strRef>
              <c:f>'Pivot Table'!$C$40:$C$41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Table'!$A$42:$A$45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Table'!$C$42:$C$45</c:f>
              <c:numCache>
                <c:formatCode>General</c:formatCode>
                <c:ptCount val="3"/>
                <c:pt idx="0">
                  <c:v>14</c:v>
                </c:pt>
                <c:pt idx="1">
                  <c:v>185</c:v>
                </c:pt>
                <c:pt idx="2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E-4BC7-B0AB-5F415C38A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024207"/>
        <c:axId val="1801024687"/>
      </c:lineChart>
      <c:catAx>
        <c:axId val="1801024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24687"/>
        <c:crosses val="autoZero"/>
        <c:auto val="1"/>
        <c:lblAlgn val="ctr"/>
        <c:lblOffset val="100"/>
        <c:noMultiLvlLbl val="0"/>
      </c:catAx>
      <c:valAx>
        <c:axId val="180102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24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0</xdr:row>
      <xdr:rowOff>26670</xdr:rowOff>
    </xdr:from>
    <xdr:to>
      <xdr:col>10</xdr:col>
      <xdr:colOff>243840</xdr:colOff>
      <xdr:row>15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E3740B-B5DC-98B5-9788-0C7BB8E49B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18</xdr:row>
      <xdr:rowOff>171450</xdr:rowOff>
    </xdr:from>
    <xdr:to>
      <xdr:col>10</xdr:col>
      <xdr:colOff>617220</xdr:colOff>
      <xdr:row>33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525F5B5-510B-4729-E085-733952A4C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38</xdr:row>
      <xdr:rowOff>163830</xdr:rowOff>
    </xdr:from>
    <xdr:to>
      <xdr:col>10</xdr:col>
      <xdr:colOff>617220</xdr:colOff>
      <xdr:row>53</xdr:row>
      <xdr:rowOff>163830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3A83EE-532D-9ED3-7892-322C26D33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376055</xdr:colOff>
      <xdr:row>12</xdr:row>
      <xdr:rowOff>0</xdr:rowOff>
    </xdr:from>
    <xdr:to>
      <xdr:col>8</xdr:col>
      <xdr:colOff>190997</xdr:colOff>
      <xdr:row>24</xdr:row>
      <xdr:rowOff>150719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D30A5C-CA09-4E33-8CC8-73396986F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381991</xdr:colOff>
      <xdr:row>24</xdr:row>
      <xdr:rowOff>150719</xdr:rowOff>
    </xdr:from>
    <xdr:to>
      <xdr:col>13</xdr:col>
      <xdr:colOff>0</xdr:colOff>
      <xdr:row>39</xdr:row>
      <xdr:rowOff>118062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4097F8-932A-4109-B5CB-198088D6E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190997</xdr:colOff>
      <xdr:row>12</xdr:row>
      <xdr:rowOff>0</xdr:rowOff>
    </xdr:from>
    <xdr:to>
      <xdr:col>13</xdr:col>
      <xdr:colOff>0</xdr:colOff>
      <xdr:row>24</xdr:row>
      <xdr:rowOff>150719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863BD8-EAE1-4AAF-95FE-DAEC377A4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125043</xdr:colOff>
      <xdr:row>12</xdr:row>
      <xdr:rowOff>0</xdr:rowOff>
    </xdr:from>
    <xdr:to>
      <xdr:col>2</xdr:col>
      <xdr:colOff>376055</xdr:colOff>
      <xdr:row>17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61A8EDD9-D17E-EDC3-1283-5BC982ADEC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043" y="2220686"/>
              <a:ext cx="1840326" cy="9252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125043</xdr:colOff>
      <xdr:row>24</xdr:row>
      <xdr:rowOff>1</xdr:rowOff>
    </xdr:from>
    <xdr:to>
      <xdr:col>2</xdr:col>
      <xdr:colOff>376055</xdr:colOff>
      <xdr:row>34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EDA4D365-A3FF-AA50-6831-FABA7A5CF6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043" y="4441372"/>
              <a:ext cx="1840326" cy="18505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130979</xdr:colOff>
      <xdr:row>17</xdr:row>
      <xdr:rowOff>52108</xdr:rowOff>
    </xdr:from>
    <xdr:to>
      <xdr:col>2</xdr:col>
      <xdr:colOff>381991</xdr:colOff>
      <xdr:row>24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5604C3A3-82FC-4C42-D1A8-11B36BDDF8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979" y="3198079"/>
              <a:ext cx="1840326" cy="12432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o Julian Montoro" refreshedDate="46055.820929861111" createdVersion="8" refreshedVersion="8" minRefreshableVersion="3" recordCount="1000" xr:uid="{8EFC7535-420C-41AD-AEAF-CE1ED519F089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4948863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FCC40-0C27-49A4-8169-3E5607C24A2B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40:D45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16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0D907-374A-4389-8A4B-32788376EF8C}" name="TablaDinámica2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0:D27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showAll="0"/>
    <pivotField numFmtId="16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uenta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00DBF-75B3-4EC8-B622-7E68DC9E8FCB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D5" firstHeaderRow="1" firstDataRow="2" firstDataCol="1"/>
  <pivotFields count="14">
    <pivotField showAll="0"/>
    <pivotField showAll="0">
      <items count="3">
        <item x="0"/>
        <item h="1"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Promedio de Income" fld="3" subtotal="average" baseField="2" baseItem="0" numFmtId="167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arital_Status" xr10:uid="{8677D119-E3DF-401A-95C3-22089CED81BC}" sourceName="Marital Status">
  <pivotTables>
    <pivotTable tabId="3" name="TablaDinámica1"/>
    <pivotTable tabId="3" name="TablaDinámica2"/>
    <pivotTable tabId="3" name="TablaDinámica3"/>
  </pivotTables>
  <data>
    <tabular pivotCacheId="494886304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ucation" xr10:uid="{282DF435-CF8D-4D42-99F7-CD7C422D4CF9}" sourceName="Education">
  <pivotTables>
    <pivotTable tabId="3" name="TablaDinámica1"/>
    <pivotTable tabId="3" name="TablaDinámica2"/>
    <pivotTable tabId="3" name="TablaDinámica3"/>
  </pivotTables>
  <data>
    <tabular pivotCacheId="494886304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A4ECF090-1240-472E-B29B-00624E559074}" sourceName="Region">
  <pivotTables>
    <pivotTable tabId="3" name="TablaDinámica1"/>
    <pivotTable tabId="3" name="TablaDinámica2"/>
    <pivotTable tabId="3" name="TablaDinámica3"/>
  </pivotTables>
  <data>
    <tabular pivotCacheId="494886304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6B9FBA71-3555-4438-8F01-385ADB648D76}" cache="SegmentaciónDeDatos_Marital_Status" caption="Marital Status" rowHeight="234950"/>
  <slicer name="Education" xr10:uid="{E8DEC07B-BB87-4162-A4FB-5E26046331FD}" cache="SegmentaciónDeDatos_Education" caption="Education" rowHeight="234950"/>
  <slicer name="Region" xr10:uid="{68781CEC-EE38-4AD5-9139-BEF8AF75A16B}" cache="SegmentaciónDeDatos_Region" caption="Region" rowHeight="234950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1001" workbookViewId="0">
      <selection sqref="A1:M1027"/>
    </sheetView>
  </sheetViews>
  <sheetFormatPr baseColWidth="10"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7246-2571-4316-823C-7A228F36676C}">
  <dimension ref="A1:N1001"/>
  <sheetViews>
    <sheetView workbookViewId="0">
      <selection activeCell="J13" sqref="J13"/>
    </sheetView>
  </sheetViews>
  <sheetFormatPr baseColWidth="10" defaultRowHeight="14.4" x14ac:dyDescent="0.3"/>
  <cols>
    <col min="1" max="1" width="11.21875" customWidth="1"/>
    <col min="2" max="2" width="14.5546875" bestFit="1" customWidth="1"/>
    <col min="4" max="4" width="11.5546875" style="3"/>
    <col min="6" max="6" width="16.21875" bestFit="1" customWidth="1"/>
    <col min="14" max="14" width="15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95CE7246-2571-4316-823C-7A228F36676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117E-B236-4615-858D-43A849A402DB}">
  <dimension ref="A1:D45"/>
  <sheetViews>
    <sheetView topLeftCell="A19" workbookViewId="0">
      <selection activeCell="D49" sqref="D49"/>
    </sheetView>
  </sheetViews>
  <sheetFormatPr baseColWidth="10" defaultRowHeight="14.4" x14ac:dyDescent="0.3"/>
  <cols>
    <col min="1" max="1" width="23" bestFit="1" customWidth="1"/>
    <col min="2" max="2" width="21.44140625" bestFit="1" customWidth="1"/>
    <col min="3" max="3" width="4" bestFit="1" customWidth="1"/>
    <col min="4" max="4" width="11.88671875" bestFit="1" customWidth="1"/>
  </cols>
  <sheetData>
    <row r="1" spans="1:4" x14ac:dyDescent="0.3">
      <c r="A1" s="4" t="s">
        <v>44</v>
      </c>
      <c r="B1" s="4" t="s">
        <v>41</v>
      </c>
    </row>
    <row r="2" spans="1:4" x14ac:dyDescent="0.3">
      <c r="A2" s="4" t="s">
        <v>43</v>
      </c>
      <c r="B2" t="s">
        <v>18</v>
      </c>
      <c r="C2" t="s">
        <v>15</v>
      </c>
      <c r="D2" t="s">
        <v>42</v>
      </c>
    </row>
    <row r="3" spans="1:4" x14ac:dyDescent="0.3">
      <c r="A3" s="5" t="s">
        <v>39</v>
      </c>
      <c r="B3" s="3">
        <v>54885.496183206109</v>
      </c>
      <c r="C3" s="3">
        <v>59259.259259259263</v>
      </c>
      <c r="D3" s="3">
        <v>56861.924686192469</v>
      </c>
    </row>
    <row r="4" spans="1:4" x14ac:dyDescent="0.3">
      <c r="A4" s="5" t="s">
        <v>38</v>
      </c>
      <c r="B4" s="3">
        <v>59431.818181818184</v>
      </c>
      <c r="C4" s="3">
        <v>61300.813008130084</v>
      </c>
      <c r="D4" s="3">
        <v>60200.668896321069</v>
      </c>
    </row>
    <row r="5" spans="1:4" x14ac:dyDescent="0.3">
      <c r="A5" s="5" t="s">
        <v>42</v>
      </c>
      <c r="B5" s="3">
        <v>57491.856677524433</v>
      </c>
      <c r="C5" s="3">
        <v>60346.320346320346</v>
      </c>
      <c r="D5" s="3">
        <v>58717.472118959107</v>
      </c>
    </row>
    <row r="20" spans="1:4" x14ac:dyDescent="0.3">
      <c r="A20" s="4" t="s">
        <v>45</v>
      </c>
      <c r="B20" s="4" t="s">
        <v>41</v>
      </c>
    </row>
    <row r="21" spans="1:4" x14ac:dyDescent="0.3">
      <c r="A21" s="4" t="s">
        <v>43</v>
      </c>
      <c r="B21" t="s">
        <v>18</v>
      </c>
      <c r="C21" t="s">
        <v>15</v>
      </c>
      <c r="D21" t="s">
        <v>42</v>
      </c>
    </row>
    <row r="22" spans="1:4" x14ac:dyDescent="0.3">
      <c r="A22" s="5" t="s">
        <v>16</v>
      </c>
      <c r="B22" s="6">
        <v>107</v>
      </c>
      <c r="C22" s="6">
        <v>98</v>
      </c>
      <c r="D22" s="6">
        <v>205</v>
      </c>
    </row>
    <row r="23" spans="1:4" x14ac:dyDescent="0.3">
      <c r="A23" s="5" t="s">
        <v>26</v>
      </c>
      <c r="B23" s="6">
        <v>50</v>
      </c>
      <c r="C23" s="6">
        <v>38</v>
      </c>
      <c r="D23" s="6">
        <v>88</v>
      </c>
    </row>
    <row r="24" spans="1:4" x14ac:dyDescent="0.3">
      <c r="A24" s="5" t="s">
        <v>22</v>
      </c>
      <c r="B24" s="6">
        <v>37</v>
      </c>
      <c r="C24" s="6">
        <v>44</v>
      </c>
      <c r="D24" s="6">
        <v>81</v>
      </c>
    </row>
    <row r="25" spans="1:4" x14ac:dyDescent="0.3">
      <c r="A25" s="5" t="s">
        <v>23</v>
      </c>
      <c r="B25" s="6">
        <v>63</v>
      </c>
      <c r="C25" s="6">
        <v>38</v>
      </c>
      <c r="D25" s="6">
        <v>101</v>
      </c>
    </row>
    <row r="26" spans="1:4" x14ac:dyDescent="0.3">
      <c r="A26" s="5" t="s">
        <v>46</v>
      </c>
      <c r="B26" s="6">
        <v>50</v>
      </c>
      <c r="C26" s="6">
        <v>13</v>
      </c>
      <c r="D26" s="6">
        <v>63</v>
      </c>
    </row>
    <row r="27" spans="1:4" x14ac:dyDescent="0.3">
      <c r="A27" s="5" t="s">
        <v>42</v>
      </c>
      <c r="B27" s="6">
        <v>307</v>
      </c>
      <c r="C27" s="6">
        <v>231</v>
      </c>
      <c r="D27" s="6">
        <v>538</v>
      </c>
    </row>
    <row r="40" spans="1:4" x14ac:dyDescent="0.3">
      <c r="A40" s="4" t="s">
        <v>45</v>
      </c>
      <c r="B40" s="4" t="s">
        <v>41</v>
      </c>
    </row>
    <row r="41" spans="1:4" x14ac:dyDescent="0.3">
      <c r="A41" s="4" t="s">
        <v>43</v>
      </c>
      <c r="B41" t="s">
        <v>18</v>
      </c>
      <c r="C41" t="s">
        <v>15</v>
      </c>
      <c r="D41" t="s">
        <v>42</v>
      </c>
    </row>
    <row r="42" spans="1:4" x14ac:dyDescent="0.3">
      <c r="A42" s="5" t="s">
        <v>47</v>
      </c>
      <c r="B42" s="6">
        <v>24</v>
      </c>
      <c r="C42" s="6">
        <v>14</v>
      </c>
      <c r="D42" s="6">
        <v>38</v>
      </c>
    </row>
    <row r="43" spans="1:4" x14ac:dyDescent="0.3">
      <c r="A43" s="5" t="s">
        <v>48</v>
      </c>
      <c r="B43" s="6">
        <v>187</v>
      </c>
      <c r="C43" s="6">
        <v>185</v>
      </c>
      <c r="D43" s="6">
        <v>372</v>
      </c>
    </row>
    <row r="44" spans="1:4" x14ac:dyDescent="0.3">
      <c r="A44" s="5" t="s">
        <v>49</v>
      </c>
      <c r="B44" s="6">
        <v>96</v>
      </c>
      <c r="C44" s="6">
        <v>32</v>
      </c>
      <c r="D44" s="6">
        <v>128</v>
      </c>
    </row>
    <row r="45" spans="1:4" x14ac:dyDescent="0.3">
      <c r="A45" s="5" t="s">
        <v>42</v>
      </c>
      <c r="B45" s="6">
        <v>307</v>
      </c>
      <c r="C45" s="6">
        <v>231</v>
      </c>
      <c r="D45" s="6">
        <v>538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1421B-51F2-4F4A-89CB-8A3FB4945FDE}">
  <dimension ref="A5:M12"/>
  <sheetViews>
    <sheetView showGridLines="0" tabSelected="1" zoomScale="70" zoomScaleNormal="70" workbookViewId="0">
      <selection activeCell="O28" sqref="O28"/>
    </sheetView>
  </sheetViews>
  <sheetFormatPr baseColWidth="10" defaultRowHeight="14.4" x14ac:dyDescent="0.3"/>
  <sheetData>
    <row r="5" spans="1:13" ht="14.4" customHeight="1" x14ac:dyDescent="0.3">
      <c r="A5" s="7" t="s">
        <v>50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4.4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4.4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4.4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4.4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4.4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4.4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4.4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</sheetData>
  <mergeCells count="1">
    <mergeCell ref="A5:M12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Mariano Julian Montoro</cp:lastModifiedBy>
  <dcterms:created xsi:type="dcterms:W3CDTF">2022-03-18T02:50:57Z</dcterms:created>
  <dcterms:modified xsi:type="dcterms:W3CDTF">2026-02-02T23:17:10Z</dcterms:modified>
</cp:coreProperties>
</file>